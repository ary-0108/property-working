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othapet Work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<sst xmlns="http://schemas.openxmlformats.org/spreadsheetml/2006/main" count="67" uniqueCount="51">
  <si>
    <t xml:space="preserve">Kothapet - Working (source: handwritten note dated 12/10)</t>
  </si>
  <si>
    <t xml:space="preserve">Yellow cells are inputs. Everything else is formula. Amounts in Rs; Cr = Rs 1,00,00,000.</t>
  </si>
  <si>
    <t xml:space="preserve">INPUTS</t>
  </si>
  <si>
    <t xml:space="preserve">Rate GF &amp; FF (Rs/sqft SBA)</t>
  </si>
  <si>
    <t xml:space="preserve">Rate 2F-4F (Rs/sqft SBA)</t>
  </si>
  <si>
    <t xml:space="preserve">Amenities per floor (Rs)</t>
  </si>
  <si>
    <t xml:space="preserve">Plot area (Sq.Yds) - to confirm</t>
  </si>
  <si>
    <t xml:space="preserve">FLOOR-WISE WORKING</t>
  </si>
  <si>
    <t xml:space="preserve">Building</t>
  </si>
  <si>
    <t xml:space="preserve">Floor</t>
  </si>
  <si>
    <t xml:space="preserve">SBA (sqft)</t>
  </si>
  <si>
    <t xml:space="preserve">Rate (Rs/sqft)</t>
  </si>
  <si>
    <t xml:space="preserve">Base value (Rs)</t>
  </si>
  <si>
    <t xml:space="preserve">Amenities (Rs)</t>
  </si>
  <si>
    <t xml:space="preserve">Total (Rs)</t>
  </si>
  <si>
    <t xml:space="preserve">Total (Cr)</t>
  </si>
  <si>
    <t xml:space="preserve">Option 1</t>
  </si>
  <si>
    <t xml:space="preserve">GF</t>
  </si>
  <si>
    <t xml:space="preserve">FF</t>
  </si>
  <si>
    <t xml:space="preserve">2F</t>
  </si>
  <si>
    <t xml:space="preserve">3F</t>
  </si>
  <si>
    <t xml:space="preserve">4F</t>
  </si>
  <si>
    <t xml:space="preserve">Option 2</t>
  </si>
  <si>
    <t xml:space="preserve">SUMMARY (Cr)</t>
  </si>
  <si>
    <t xml:space="preserve">Item</t>
  </si>
  <si>
    <t xml:space="preserve">Both</t>
  </si>
  <si>
    <t xml:space="preserve">SBA total (sqft)</t>
  </si>
  <si>
    <t xml:space="preserve">GF+FF base (Cr)</t>
  </si>
  <si>
    <t xml:space="preserve">2F-4F base (Cr)</t>
  </si>
  <si>
    <t xml:space="preserve">Base total (Cr)</t>
  </si>
  <si>
    <t xml:space="preserve">Amenities (Cr)</t>
  </si>
  <si>
    <t xml:space="preserve">GF+FF incl. amenities (Cr)</t>
  </si>
  <si>
    <t xml:space="preserve">2F-4F incl. amenities (Cr)</t>
  </si>
  <si>
    <t xml:space="preserve">TOTAL (Cr)</t>
  </si>
  <si>
    <t xml:space="preserve">OURS vs PAPER (Cr)</t>
  </si>
  <si>
    <t xml:space="preserve">Paper</t>
  </si>
  <si>
    <t xml:space="preserve">Ours</t>
  </si>
  <si>
    <t xml:space="preserve">Difference</t>
  </si>
  <si>
    <t xml:space="preserve">Note</t>
  </si>
  <si>
    <t xml:space="preserve">Opt 1 GF+FF</t>
  </si>
  <si>
    <t xml:space="preserve">Digit overwritten on paper; likely 16.4</t>
  </si>
  <si>
    <t xml:space="preserve">Opt 2 GF+FF</t>
  </si>
  <si>
    <t xml:space="preserve">Paper includes 2 floors of amenities</t>
  </si>
  <si>
    <t xml:space="preserve">Opt 1 2F-4F (3.7 x 3)</t>
  </si>
  <si>
    <t xml:space="preserve">3.462 + 0.25 amenities = 3.712 per floor</t>
  </si>
  <si>
    <t xml:space="preserve">Opt 2 2F-4F (3.36 x 3)</t>
  </si>
  <si>
    <t xml:space="preserve">3.111 + 0.25 = 3.361 per floor</t>
  </si>
  <si>
    <t xml:space="preserve">Combined one upper floor (2F/3F/4F)</t>
  </si>
  <si>
    <t xml:space="preserve">6,573 sqft x 10,000 + 0.25</t>
  </si>
  <si>
    <t xml:space="preserve">Assumptions: Option 1 and Option 2 are two separate buildings of 5 floors (GF-4F); SBA areas; amenities Rs 25 lakh per floor (Rs 1.25 Cr per building); upper floors Rs 10,000/sqft.</t>
  </si>
  <si>
    <t xml:space="preserve">Paper figures are read from handwriting; plot size and the Option 1 GF+FF figure are the uncertain ones.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</si>
</sst>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0" t="s">
        <v>3</v>
      </c>
      <c r="B5" s="3" t="n">
        <v>23000</v>
      </c>
    </row>
    <row r="6" customFormat="false" ht="15" hidden="false" customHeight="false" outlineLevel="0" collapsed="false">
      <c r="A6" s="0" t="s">
        <v>4</v>
      </c>
      <c r="B6" s="3" t="n">
        <v>10000</v>
      </c>
    </row>
    <row r="7" customFormat="false" ht="15" hidden="false" customHeight="false" outlineLevel="0" collapsed="false">
      <c r="A7" s="0" t="s">
        <v>5</v>
      </c>
      <c r="B7" s="3" t="n">
        <v>2500000</v>
      </c>
    </row>
    <row r="8" customFormat="false" ht="15" hidden="false" customHeight="false" outlineLevel="0" collapsed="false">
      <c r="A8" s="0" t="s">
        <v>6</v>
      </c>
      <c r="B8" s="3" t="n">
        <v>900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4" t="s">
        <v>8</v>
      </c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  <c r="G11" s="4" t="s">
        <v>14</v>
      </c>
      <c r="H11" s="4" t="s">
        <v>15</v>
      </c>
    </row>
    <row r="12" customFormat="false" ht="15" hidden="false" customHeight="false" outlineLevel="0" collapsed="false">
      <c r="A12" s="5" t="s">
        <v>16</v>
      </c>
      <c r="B12" s="5" t="s">
        <v>17</v>
      </c>
      <c r="C12" s="3" t="n">
        <v>3462</v>
      </c>
      <c r="D12" s="6" t="n">
        <f aca="false">$B$5</f>
        <v>23000</v>
      </c>
      <c r="E12" s="6" t="n">
        <f aca="false">C12*D12</f>
        <v>79626000</v>
      </c>
      <c r="F12" s="6" t="n">
        <f aca="false">$B$7</f>
        <v>2500000</v>
      </c>
      <c r="G12" s="6" t="n">
        <f aca="false">E12+F12</f>
        <v>82126000</v>
      </c>
      <c r="H12" s="7" t="n">
        <f aca="false">G12/10000000</f>
        <v>8.2126</v>
      </c>
    </row>
    <row r="13" customFormat="false" ht="15" hidden="false" customHeight="false" outlineLevel="0" collapsed="false">
      <c r="A13" s="5" t="s">
        <v>16</v>
      </c>
      <c r="B13" s="5" t="s">
        <v>18</v>
      </c>
      <c r="C13" s="3" t="n">
        <v>3462</v>
      </c>
      <c r="D13" s="6" t="n">
        <f aca="false">$B$5</f>
        <v>23000</v>
      </c>
      <c r="E13" s="6" t="n">
        <f aca="false">C13*D13</f>
        <v>79626000</v>
      </c>
      <c r="F13" s="6" t="n">
        <f aca="false">$B$7</f>
        <v>2500000</v>
      </c>
      <c r="G13" s="6" t="n">
        <f aca="false">E13+F13</f>
        <v>82126000</v>
      </c>
      <c r="H13" s="7" t="n">
        <f aca="false">G13/10000000</f>
        <v>8.2126</v>
      </c>
    </row>
    <row r="14" customFormat="false" ht="15" hidden="false" customHeight="false" outlineLevel="0" collapsed="false">
      <c r="A14" s="5" t="s">
        <v>16</v>
      </c>
      <c r="B14" s="5" t="s">
        <v>19</v>
      </c>
      <c r="C14" s="3" t="n">
        <v>3462</v>
      </c>
      <c r="D14" s="6" t="n">
        <f aca="false">$B$6</f>
        <v>10000</v>
      </c>
      <c r="E14" s="6" t="n">
        <f aca="false">C14*D14</f>
        <v>34620000</v>
      </c>
      <c r="F14" s="6" t="n">
        <f aca="false">$B$7</f>
        <v>2500000</v>
      </c>
      <c r="G14" s="6" t="n">
        <f aca="false">E14+F14</f>
        <v>37120000</v>
      </c>
      <c r="H14" s="7" t="n">
        <f aca="false">G14/10000000</f>
        <v>3.712</v>
      </c>
    </row>
    <row r="15" customFormat="false" ht="15" hidden="false" customHeight="false" outlineLevel="0" collapsed="false">
      <c r="A15" s="5" t="s">
        <v>16</v>
      </c>
      <c r="B15" s="5" t="s">
        <v>20</v>
      </c>
      <c r="C15" s="3" t="n">
        <v>3462</v>
      </c>
      <c r="D15" s="6" t="n">
        <f aca="false">$B$6</f>
        <v>10000</v>
      </c>
      <c r="E15" s="6" t="n">
        <f aca="false">C15*D15</f>
        <v>34620000</v>
      </c>
      <c r="F15" s="6" t="n">
        <f aca="false">$B$7</f>
        <v>2500000</v>
      </c>
      <c r="G15" s="6" t="n">
        <f aca="false">E15+F15</f>
        <v>37120000</v>
      </c>
      <c r="H15" s="7" t="n">
        <f aca="false">G15/10000000</f>
        <v>3.712</v>
      </c>
    </row>
    <row r="16" customFormat="false" ht="15" hidden="false" customHeight="false" outlineLevel="0" collapsed="false">
      <c r="A16" s="5" t="s">
        <v>16</v>
      </c>
      <c r="B16" s="5" t="s">
        <v>21</v>
      </c>
      <c r="C16" s="3" t="n">
        <v>3462</v>
      </c>
      <c r="D16" s="6" t="n">
        <f aca="false">$B$6</f>
        <v>10000</v>
      </c>
      <c r="E16" s="6" t="n">
        <f aca="false">C16*D16</f>
        <v>34620000</v>
      </c>
      <c r="F16" s="6" t="n">
        <f aca="false">$B$7</f>
        <v>2500000</v>
      </c>
      <c r="G16" s="6" t="n">
        <f aca="false">E16+F16</f>
        <v>37120000</v>
      </c>
      <c r="H16" s="7" t="n">
        <f aca="false">G16/10000000</f>
        <v>3.712</v>
      </c>
    </row>
    <row r="17" customFormat="false" ht="15" hidden="false" customHeight="false" outlineLevel="0" collapsed="false">
      <c r="A17" s="5" t="s">
        <v>22</v>
      </c>
      <c r="B17" s="5" t="s">
        <v>17</v>
      </c>
      <c r="C17" s="3" t="n">
        <v>2424</v>
      </c>
      <c r="D17" s="6" t="n">
        <f aca="false">$B$5</f>
        <v>23000</v>
      </c>
      <c r="E17" s="6" t="n">
        <f aca="false">C17*D17</f>
        <v>55752000</v>
      </c>
      <c r="F17" s="6" t="n">
        <f aca="false">$B$7</f>
        <v>2500000</v>
      </c>
      <c r="G17" s="6" t="n">
        <f aca="false">E17+F17</f>
        <v>58252000</v>
      </c>
      <c r="H17" s="7" t="n">
        <f aca="false">G17/10000000</f>
        <v>5.8252</v>
      </c>
    </row>
    <row r="18" customFormat="false" ht="15" hidden="false" customHeight="false" outlineLevel="0" collapsed="false">
      <c r="A18" s="5" t="s">
        <v>22</v>
      </c>
      <c r="B18" s="5" t="s">
        <v>18</v>
      </c>
      <c r="C18" s="3" t="n">
        <v>3111</v>
      </c>
      <c r="D18" s="6" t="n">
        <f aca="false">$B$5</f>
        <v>23000</v>
      </c>
      <c r="E18" s="6" t="n">
        <f aca="false">C18*D18</f>
        <v>71553000</v>
      </c>
      <c r="F18" s="6" t="n">
        <f aca="false">$B$7</f>
        <v>2500000</v>
      </c>
      <c r="G18" s="6" t="n">
        <f aca="false">E18+F18</f>
        <v>74053000</v>
      </c>
      <c r="H18" s="7" t="n">
        <f aca="false">G18/10000000</f>
        <v>7.4053</v>
      </c>
    </row>
    <row r="19" customFormat="false" ht="15" hidden="false" customHeight="false" outlineLevel="0" collapsed="false">
      <c r="A19" s="5" t="s">
        <v>22</v>
      </c>
      <c r="B19" s="5" t="s">
        <v>19</v>
      </c>
      <c r="C19" s="3" t="n">
        <v>3111</v>
      </c>
      <c r="D19" s="6" t="n">
        <f aca="false">$B$6</f>
        <v>10000</v>
      </c>
      <c r="E19" s="6" t="n">
        <f aca="false">C19*D19</f>
        <v>31110000</v>
      </c>
      <c r="F19" s="6" t="n">
        <f aca="false">$B$7</f>
        <v>2500000</v>
      </c>
      <c r="G19" s="6" t="n">
        <f aca="false">E19+F19</f>
        <v>33610000</v>
      </c>
      <c r="H19" s="7" t="n">
        <f aca="false">G19/10000000</f>
        <v>3.361</v>
      </c>
    </row>
    <row r="20" customFormat="false" ht="15" hidden="false" customHeight="false" outlineLevel="0" collapsed="false">
      <c r="A20" s="5" t="s">
        <v>22</v>
      </c>
      <c r="B20" s="5" t="s">
        <v>20</v>
      </c>
      <c r="C20" s="3" t="n">
        <v>3111</v>
      </c>
      <c r="D20" s="6" t="n">
        <f aca="false">$B$6</f>
        <v>10000</v>
      </c>
      <c r="E20" s="6" t="n">
        <f aca="false">C20*D20</f>
        <v>31110000</v>
      </c>
      <c r="F20" s="6" t="n">
        <f aca="false">$B$7</f>
        <v>2500000</v>
      </c>
      <c r="G20" s="6" t="n">
        <f aca="false">E20+F20</f>
        <v>33610000</v>
      </c>
      <c r="H20" s="7" t="n">
        <f aca="false">G20/10000000</f>
        <v>3.361</v>
      </c>
    </row>
    <row r="21" customFormat="false" ht="15" hidden="false" customHeight="false" outlineLevel="0" collapsed="false">
      <c r="A21" s="5" t="s">
        <v>22</v>
      </c>
      <c r="B21" s="5" t="s">
        <v>21</v>
      </c>
      <c r="C21" s="3" t="n">
        <v>3111</v>
      </c>
      <c r="D21" s="6" t="n">
        <f aca="false">$B$6</f>
        <v>10000</v>
      </c>
      <c r="E21" s="6" t="n">
        <f aca="false">C21*D21</f>
        <v>31110000</v>
      </c>
      <c r="F21" s="6" t="n">
        <f aca="false">$B$7</f>
        <v>2500000</v>
      </c>
      <c r="G21" s="6" t="n">
        <f aca="false">E21+F21</f>
        <v>33610000</v>
      </c>
      <c r="H21" s="7" t="n">
        <f aca="false">G21/10000000</f>
        <v>3.361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4" t="s">
        <v>24</v>
      </c>
      <c r="B25" s="4"/>
      <c r="C25" s="4" t="s">
        <v>16</v>
      </c>
      <c r="D25" s="4" t="s">
        <v>22</v>
      </c>
      <c r="E25" s="4" t="s">
        <v>25</v>
      </c>
    </row>
    <row r="26" customFormat="false" ht="15" hidden="false" customHeight="false" outlineLevel="0" collapsed="false">
      <c r="A26" s="5" t="s">
        <v>26</v>
      </c>
      <c r="B26" s="5"/>
      <c r="C26" s="6" t="n">
        <f aca="false">SUM(C12:C16)</f>
        <v>17310</v>
      </c>
      <c r="D26" s="6" t="n">
        <f aca="false">SUM(C17:C21)</f>
        <v>14868</v>
      </c>
      <c r="E26" s="6" t="n">
        <f aca="false">C26+D26</f>
        <v>32178</v>
      </c>
    </row>
    <row r="27" customFormat="false" ht="15" hidden="false" customHeight="false" outlineLevel="0" collapsed="false">
      <c r="A27" s="5" t="s">
        <v>27</v>
      </c>
      <c r="B27" s="5"/>
      <c r="C27" s="7" t="n">
        <f aca="false">SUM(E12:E13)/10000000</f>
        <v>15.9252</v>
      </c>
      <c r="D27" s="7" t="n">
        <f aca="false">SUM(E17:E18)/10000000</f>
        <v>12.7305</v>
      </c>
      <c r="E27" s="7" t="n">
        <f aca="false">C27+D27</f>
        <v>28.6557</v>
      </c>
    </row>
    <row r="28" customFormat="false" ht="15" hidden="false" customHeight="false" outlineLevel="0" collapsed="false">
      <c r="A28" s="5" t="s">
        <v>28</v>
      </c>
      <c r="B28" s="5"/>
      <c r="C28" s="7" t="n">
        <f aca="false">SUM(E14:E16)/10000000</f>
        <v>10.386</v>
      </c>
      <c r="D28" s="7" t="n">
        <f aca="false">SUM(E19:E21)/10000000</f>
        <v>9.333</v>
      </c>
      <c r="E28" s="7" t="n">
        <f aca="false">C28+D28</f>
        <v>19.719</v>
      </c>
    </row>
    <row r="29" customFormat="false" ht="15" hidden="false" customHeight="false" outlineLevel="0" collapsed="false">
      <c r="A29" s="5" t="s">
        <v>29</v>
      </c>
      <c r="B29" s="5"/>
      <c r="C29" s="7" t="n">
        <f aca="false">SUM(E12:E16)/10000000</f>
        <v>26.3112</v>
      </c>
      <c r="D29" s="7" t="n">
        <f aca="false">SUM(E17:E21)/10000000</f>
        <v>22.0635</v>
      </c>
      <c r="E29" s="7" t="n">
        <f aca="false">C29+D29</f>
        <v>48.3747</v>
      </c>
    </row>
    <row r="30" customFormat="false" ht="15" hidden="false" customHeight="false" outlineLevel="0" collapsed="false">
      <c r="A30" s="5" t="s">
        <v>30</v>
      </c>
      <c r="B30" s="5"/>
      <c r="C30" s="7" t="n">
        <f aca="false">SUM(F12:F16)/10000000</f>
        <v>1.25</v>
      </c>
      <c r="D30" s="7" t="n">
        <f aca="false">SUM(F17:F21)/10000000</f>
        <v>1.25</v>
      </c>
      <c r="E30" s="7" t="n">
        <f aca="false">C30+D30</f>
        <v>2.5</v>
      </c>
    </row>
    <row r="31" customFormat="false" ht="15" hidden="false" customHeight="false" outlineLevel="0" collapsed="false">
      <c r="A31" s="5" t="s">
        <v>31</v>
      </c>
      <c r="B31" s="5"/>
      <c r="C31" s="7" t="n">
        <f aca="false">SUM(G12:G13)/10000000</f>
        <v>16.4252</v>
      </c>
      <c r="D31" s="7" t="n">
        <f aca="false">SUM(G17:G18)/10000000</f>
        <v>13.2305</v>
      </c>
      <c r="E31" s="7" t="n">
        <f aca="false">C31+D31</f>
        <v>29.6557</v>
      </c>
    </row>
    <row r="32" customFormat="false" ht="15" hidden="false" customHeight="false" outlineLevel="0" collapsed="false">
      <c r="A32" s="5" t="s">
        <v>32</v>
      </c>
      <c r="B32" s="5"/>
      <c r="C32" s="7" t="n">
        <f aca="false">SUM(G14:G16)/10000000</f>
        <v>11.136</v>
      </c>
      <c r="D32" s="7" t="n">
        <f aca="false">SUM(G19:G21)/10000000</f>
        <v>10.083</v>
      </c>
      <c r="E32" s="7" t="n">
        <f aca="false">C32+D32</f>
        <v>21.219</v>
      </c>
    </row>
    <row r="33" customFormat="false" ht="15" hidden="false" customHeight="false" outlineLevel="0" collapsed="false">
      <c r="A33" s="8" t="s">
        <v>33</v>
      </c>
      <c r="B33" s="8"/>
      <c r="C33" s="9" t="n">
        <f aca="false">SUM(G12:G16)/10000000</f>
        <v>27.5612</v>
      </c>
      <c r="D33" s="9" t="n">
        <f aca="false">SUM(G17:G21)/10000000</f>
        <v>23.3135</v>
      </c>
      <c r="E33" s="9" t="n">
        <f aca="false">C33+D33</f>
        <v>50.8747</v>
      </c>
    </row>
    <row r="36" customFormat="false" ht="15" hidden="false" customHeight="false" outlineLevel="0" collapsed="false">
      <c r="A36" s="2" t="s">
        <v>34</v>
      </c>
    </row>
    <row r="37" customFormat="false" ht="15" hidden="false" customHeight="false" outlineLevel="0" collapsed="false">
      <c r="A37" s="4" t="s">
        <v>24</v>
      </c>
      <c r="B37" s="4"/>
      <c r="C37" s="4" t="s">
        <v>35</v>
      </c>
      <c r="D37" s="4" t="s">
        <v>36</v>
      </c>
      <c r="E37" s="4" t="s">
        <v>37</v>
      </c>
      <c r="F37" s="4" t="s">
        <v>38</v>
      </c>
    </row>
    <row r="38" customFormat="false" ht="15" hidden="false" customHeight="false" outlineLevel="0" collapsed="false">
      <c r="A38" s="5" t="s">
        <v>39</v>
      </c>
      <c r="B38" s="5"/>
      <c r="C38" s="10" t="n">
        <v>16</v>
      </c>
      <c r="D38" s="7" t="n">
        <f aca="false">C31</f>
        <v>16.4252</v>
      </c>
      <c r="E38" s="7" t="n">
        <f aca="false">D38-C38</f>
        <v>0.4252</v>
      </c>
      <c r="F38" s="5" t="s">
        <v>40</v>
      </c>
    </row>
    <row r="39" customFormat="false" ht="15" hidden="false" customHeight="false" outlineLevel="0" collapsed="false">
      <c r="A39" s="5" t="s">
        <v>41</v>
      </c>
      <c r="B39" s="5"/>
      <c r="C39" s="10" t="n">
        <v>13.2</v>
      </c>
      <c r="D39" s="7" t="n">
        <f aca="false">D31</f>
        <v>13.2305</v>
      </c>
      <c r="E39" s="7" t="n">
        <f aca="false">D39-C39</f>
        <v>0.0305</v>
      </c>
      <c r="F39" s="5" t="s">
        <v>42</v>
      </c>
    </row>
    <row r="40" customFormat="false" ht="15" hidden="false" customHeight="false" outlineLevel="0" collapsed="false">
      <c r="A40" s="5" t="s">
        <v>43</v>
      </c>
      <c r="B40" s="5"/>
      <c r="C40" s="10" t="n">
        <v>11.1</v>
      </c>
      <c r="D40" s="7" t="n">
        <f aca="false">C32</f>
        <v>11.136</v>
      </c>
      <c r="E40" s="7" t="n">
        <f aca="false">D40-C40</f>
        <v>0.0359999999999996</v>
      </c>
      <c r="F40" s="5" t="s">
        <v>44</v>
      </c>
    </row>
    <row r="41" customFormat="false" ht="15" hidden="false" customHeight="false" outlineLevel="0" collapsed="false">
      <c r="A41" s="5" t="s">
        <v>45</v>
      </c>
      <c r="B41" s="5"/>
      <c r="C41" s="10" t="n">
        <v>10.08</v>
      </c>
      <c r="D41" s="7" t="n">
        <f aca="false">D32</f>
        <v>10.083</v>
      </c>
      <c r="E41" s="7" t="n">
        <f aca="false">D41-C41</f>
        <v>0.00300000000000011</v>
      </c>
      <c r="F41" s="5" t="s">
        <v>46</v>
      </c>
    </row>
    <row r="42" customFormat="false" ht="15" hidden="false" customHeight="false" outlineLevel="0" collapsed="false">
      <c r="A42" s="5" t="s">
        <v>47</v>
      </c>
      <c r="B42" s="5"/>
      <c r="C42" s="10" t="n">
        <v>6.82</v>
      </c>
      <c r="D42" s="7" t="n">
        <f aca="false">(E14+E19+$B$7)/10000000</f>
        <v>6.823</v>
      </c>
      <c r="E42" s="7" t="n">
        <f aca="false">D42-C42</f>
        <v>0.00300000000000011</v>
      </c>
      <c r="F42" s="5" t="s">
        <v>48</v>
      </c>
    </row>
    <row r="45" customFormat="false" ht="15" hidden="false" customHeight="false" outlineLevel="0" collapsed="false">
      <c r="A45" s="0" t="s">
        <v>49</v>
      </c>
    </row>
    <row r="46" customFormat="false" ht="15" hidden="false" customHeight="false" outlineLevel="0" collapsed="false">
      <c r="A46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2026-10-12T09:10:49Z</dcterms:created>
  <dc:creator>openpyxl</dc:creator>
  <dc:description/>
  <dc:language>en-US</dc:language>
  <cp:lastModifiedBy/>
  <dcterms:modified xsi:type="dcterms:W3CDTF">2026-10-12T09:10:49Z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